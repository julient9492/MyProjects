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land\Documents\VBA Class\Part 3\"/>
    </mc:Choice>
  </mc:AlternateContent>
  <xr:revisionPtr revIDLastSave="0" documentId="13_ncr:1_{675B5E4A-1489-4525-A225-B0AF6E66F480}" xr6:coauthVersionLast="47" xr6:coauthVersionMax="47" xr10:uidLastSave="{00000000-0000-0000-0000-000000000000}"/>
  <bookViews>
    <workbookView xWindow="0" yWindow="0" windowWidth="14100" windowHeight="10920" xr2:uid="{00000000-000D-0000-FFFF-FFFF00000000}"/>
  </bookViews>
  <sheets>
    <sheet name="Main" sheetId="1" r:id="rId1"/>
    <sheet name="Histogram" sheetId="88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<sst xmlns="http://schemas.openxmlformats.org/spreadsheetml/2006/main" count="28" uniqueCount="25">
  <si>
    <t>PROFITABILITY ANALYSIS - MONTE CARLO SIMULATION</t>
  </si>
  <si>
    <t>C_land</t>
  </si>
  <si>
    <t>S</t>
  </si>
  <si>
    <t>C</t>
  </si>
  <si>
    <t>C_royalties</t>
  </si>
  <si>
    <t>Tax: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</si>
  <si>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</si>
  <si>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</si>
  <si>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</si>
  <si>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</si>
  <si>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</si>
  <si>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</si>
  <si>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</si>
  <si>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</si>
  <si>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</si>
  <si>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</si>
  <si>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</si>
  <si>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</si>
  <si>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</si>
  <si>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</si>
  <si>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</si>
  <si>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</si>
  <si>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Sales</t>
  </si>
  <si>
    <t>Prod. Cost</t>
  </si>
  <si>
    <t>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</si>
</sst>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-57</c:v>
                </c:pt>
                <c:pt idx="1">
                  <c:v>-51</c:v>
                </c:pt>
                <c:pt idx="2">
                  <c:v>-45</c:v>
                </c:pt>
                <c:pt idx="3">
                  <c:v>-39</c:v>
                </c:pt>
                <c:pt idx="4">
                  <c:v>-33</c:v>
                </c:pt>
                <c:pt idx="5">
                  <c:v>-27</c:v>
                </c:pt>
                <c:pt idx="6">
                  <c:v>-21</c:v>
                </c:pt>
                <c:pt idx="7">
                  <c:v>-15</c:v>
                </c:pt>
                <c:pt idx="8">
                  <c:v>-9</c:v>
                </c:pt>
                <c:pt idx="9">
                  <c:v>-3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27</c:v>
                </c:pt>
                <c:pt idx="15">
                  <c:v>33</c:v>
                </c:pt>
                <c:pt idx="16">
                  <c:v>39</c:v>
                </c:pt>
                <c:pt idx="17">
                  <c:v>45</c:v>
                </c:pt>
                <c:pt idx="18">
                  <c:v>51</c:v>
                </c:pt>
                <c:pt idx="19">
                  <c:v>57</c:v>
                </c:pt>
                <c:pt idx="20">
                  <c:v>63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3</c:v>
                </c:pt>
                <c:pt idx="1">
                  <c:v>13</c:v>
                </c:pt>
                <c:pt idx="2">
                  <c:v>31</c:v>
                </c:pt>
                <c:pt idx="3">
                  <c:v>41</c:v>
                </c:pt>
                <c:pt idx="4">
                  <c:v>59</c:v>
                </c:pt>
                <c:pt idx="5">
                  <c:v>86</c:v>
                </c:pt>
                <c:pt idx="6">
                  <c:v>85</c:v>
                </c:pt>
                <c:pt idx="7">
                  <c:v>90</c:v>
                </c:pt>
                <c:pt idx="8">
                  <c:v>97</c:v>
                </c:pt>
                <c:pt idx="9">
                  <c:v>95</c:v>
                </c:pt>
                <c:pt idx="10">
                  <c:v>95</c:v>
                </c:pt>
                <c:pt idx="11">
                  <c:v>78</c:v>
                </c:pt>
                <c:pt idx="12">
                  <c:v>79</c:v>
                </c:pt>
                <c:pt idx="13">
                  <c:v>47</c:v>
                </c:pt>
                <c:pt idx="14">
                  <c:v>40</c:v>
                </c:pt>
                <c:pt idx="15">
                  <c:v>25</c:v>
                </c:pt>
                <c:pt idx="16">
                  <c:v>12</c:v>
                </c:pt>
                <c:pt idx="17">
                  <c:v>9</c:v>
                </c:pt>
                <c:pt idx="18">
                  <c:v>7</c:v>
                </c:pt>
                <c:pt idx="19">
                  <c:v>1</c:v>
                </c:pt>
                <c:pt idx="2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3-47D9-9C04-1657CADE8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271848"/>
        <c:axId val="499273816"/>
      </c:barChart>
      <c:catAx>
        <c:axId val="499271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3816"/>
        <c:crosses val="autoZero"/>
        <c:auto val="1"/>
        <c:lblAlgn val="ctr"/>
        <c:lblOffset val="100"/>
        <c:noMultiLvlLbl val="0"/>
      </c:catAx>
      <c:valAx>
        <c:axId val="4992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F9728E6-A10D-4E24-AB79-A2273B319EB6}">
  <sheetPr/>
  <sheetViews>
    <sheetView zoomScale="6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</xdr:row>
          <xdr:rowOff>95250</xdr:rowOff>
        </xdr:from>
        <xdr:to>
          <xdr:col>11</xdr:col>
          <xdr:colOff>257175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F16C89-F1A0-4D06-86C8-A6DE93729D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="80" zoomScaleNormal="80" workbookViewId="0">
      <selection activeCell="K7" sqref="K7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2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-20</v>
      </c>
      <c r="D3" t="s">
        <v>22</v>
      </c>
      <c r="E3" s="15">
        <v>45.00736381234001</v>
      </c>
      <c r="G3" t="s">
        <v>23</v>
      </c>
      <c r="H3" s="5">
        <v>-7.4313286289122376</v>
      </c>
    </row>
    <row r="4" spans="1:16" ht="15.75" thickBot="1" x14ac:dyDescent="0.3">
      <c r="A4" t="s">
        <v>4</v>
      </c>
      <c r="B4" s="6">
        <v>-14.577451151588765</v>
      </c>
      <c r="D4" t="s">
        <v>5</v>
      </c>
      <c r="E4" s="7">
        <v>0.4</v>
      </c>
      <c r="G4" t="s">
        <v>24</v>
      </c>
      <c r="H4" s="8">
        <v>0.14253456592559816</v>
      </c>
    </row>
    <row r="5" spans="1:16" x14ac:dyDescent="0.25">
      <c r="A5" t="s">
        <v>6</v>
      </c>
      <c r="B5" s="9">
        <v>-90.179459122895679</v>
      </c>
      <c r="H5" s="10"/>
    </row>
    <row r="6" spans="1:16" x14ac:dyDescent="0.25">
      <c r="A6" t="s">
        <v>7</v>
      </c>
      <c r="B6" s="9">
        <v>-18.922430217266083</v>
      </c>
      <c r="E6" t="s">
        <v>8</v>
      </c>
      <c r="H6" s="10"/>
    </row>
    <row r="7" spans="1:16" ht="15.75" thickBot="1" x14ac:dyDescent="0.3">
      <c r="A7" t="s">
        <v>9</v>
      </c>
      <c r="B7" s="14">
        <v>-15.301724333397217</v>
      </c>
      <c r="E7" t="s">
        <v>10</v>
      </c>
      <c r="H7" s="10"/>
    </row>
    <row r="8" spans="1:16" x14ac:dyDescent="0.25">
      <c r="M8" t="s">
        <v>11</v>
      </c>
    </row>
    <row r="9" spans="1:16" x14ac:dyDescent="0.25">
      <c r="A9" t="s">
        <v>12</v>
      </c>
      <c r="B9" t="s">
        <v>6</v>
      </c>
      <c r="C9" t="s">
        <v>7</v>
      </c>
      <c r="D9" t="s">
        <v>1</v>
      </c>
      <c r="E9" t="s">
        <v>13</v>
      </c>
      <c r="F9" t="s">
        <v>14</v>
      </c>
      <c r="G9" t="s">
        <v>15</v>
      </c>
      <c r="H9" t="s">
        <v>16</v>
      </c>
      <c r="I9" t="s">
        <v>2</v>
      </c>
      <c r="J9" t="s">
        <v>3</v>
      </c>
      <c r="K9" t="s">
        <v>17</v>
      </c>
      <c r="L9" t="s">
        <v>18</v>
      </c>
      <c r="M9" t="s">
        <v>19</v>
      </c>
      <c r="N9" t="s">
        <v>20</v>
      </c>
      <c r="P9" t="s">
        <v>21</v>
      </c>
    </row>
    <row r="10" spans="1:16" x14ac:dyDescent="0.25">
      <c r="A10">
        <v>1</v>
      </c>
      <c r="B10" s="11">
        <f>0.5*CTDC</f>
        <v>-45.08972956144784</v>
      </c>
      <c r="C10" s="11"/>
      <c r="D10" s="11">
        <f>Cland</f>
        <v>-20</v>
      </c>
      <c r="E10" s="11"/>
      <c r="F10" s="11"/>
      <c r="G10" s="11"/>
      <c r="H10" s="11"/>
      <c r="I10" s="11"/>
      <c r="J10" s="11"/>
      <c r="L10">
        <f>B10+D10</f>
        <v>-65.08972956144784</v>
      </c>
      <c r="M10" s="11">
        <f t="shared" ref="M10:M24" si="0">L10/(1+i)^(A10-1)</f>
        <v>-65.08972956144784</v>
      </c>
      <c r="N10" s="11">
        <f>M10</f>
        <v>-65.08972956144784</v>
      </c>
    </row>
    <row r="11" spans="1:16" x14ac:dyDescent="0.25">
      <c r="A11">
        <v>2</v>
      </c>
      <c r="B11" s="11">
        <f>0.5*CTDC</f>
        <v>-45.08972956144784</v>
      </c>
      <c r="C11" s="11">
        <f>WC</f>
        <v>-18.922430217266083</v>
      </c>
      <c r="D11" s="11"/>
      <c r="E11" s="11"/>
      <c r="F11" s="11">
        <f>Cstart</f>
        <v>-15.301724333397217</v>
      </c>
      <c r="G11" s="11"/>
      <c r="H11" s="11"/>
      <c r="I11" s="11"/>
      <c r="J11" s="11"/>
      <c r="L11">
        <f>B11+C11+F11</f>
        <v>-79.31388411211114</v>
      </c>
      <c r="M11" s="11">
        <f t="shared" si="0"/>
        <v>-69.419242513557407</v>
      </c>
      <c r="N11" s="11">
        <f>N10+M11</f>
        <v>-134.50897207500526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-14.577451151588765</v>
      </c>
      <c r="F12" s="11"/>
      <c r="G12" s="11"/>
      <c r="H12" s="11">
        <f>P12*-CTDC</f>
        <v>12.886644708661793</v>
      </c>
      <c r="I12" s="11">
        <f>0.5*S</f>
        <v>22.503681906170005</v>
      </c>
      <c r="J12" s="11">
        <f>0.5*COS</f>
        <v>-3.7156643144561188</v>
      </c>
      <c r="K12" s="11">
        <f>(1-tax)*(I12-J12-H12)</f>
        <v>7.9996209071785991</v>
      </c>
      <c r="L12" s="11">
        <f t="shared" ref="L12:L23" si="2">K12+H12+E12</f>
        <v>6.3088144642516291</v>
      </c>
      <c r="M12" s="11">
        <f t="shared" si="0"/>
        <v>4.8329139156124343</v>
      </c>
      <c r="N12" s="11">
        <f t="shared" ref="N12:N23" si="3">N11+M12</f>
        <v>-129.67605815939282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-14.577451151588765</v>
      </c>
      <c r="F13" s="11"/>
      <c r="G13" s="11"/>
      <c r="H13" s="11">
        <f t="shared" ref="H13:H19" si="4">P13*-CTDC</f>
        <v>22.084949539197151</v>
      </c>
      <c r="I13" s="11">
        <f>0.8*S</f>
        <v>36.005891049872012</v>
      </c>
      <c r="J13" s="11">
        <f>0.8*COS</f>
        <v>-5.9450629031297906</v>
      </c>
      <c r="K13" s="11">
        <f t="shared" ref="K13:K24" si="5">(1-tax)*(I13-J13-H13)</f>
        <v>11.919602648282789</v>
      </c>
      <c r="L13" s="11">
        <f t="shared" si="2"/>
        <v>19.427101035891173</v>
      </c>
      <c r="M13" s="11">
        <f t="shared" si="0"/>
        <v>13.025666510170947</v>
      </c>
      <c r="N13" s="11">
        <f t="shared" si="3"/>
        <v>-116.65039164922187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-14.577451151588765</v>
      </c>
      <c r="F14" s="11"/>
      <c r="G14" s="11"/>
      <c r="H14" s="11">
        <f t="shared" si="4"/>
        <v>15.772387400594454</v>
      </c>
      <c r="I14" s="11">
        <f t="shared" ref="I14:I24" si="6">S</f>
        <v>45.00736381234001</v>
      </c>
      <c r="J14" s="11">
        <f t="shared" ref="J14:J24" si="7">COS</f>
        <v>-7.4313286289122376</v>
      </c>
      <c r="K14" s="11">
        <f t="shared" si="5"/>
        <v>21.999783024394677</v>
      </c>
      <c r="L14" s="11">
        <f t="shared" si="2"/>
        <v>23.194719273400363</v>
      </c>
      <c r="M14" s="11">
        <f t="shared" si="0"/>
        <v>13.611679941088356</v>
      </c>
      <c r="N14" s="11">
        <f t="shared" si="3"/>
        <v>-103.03871170813352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-14.577451151588765</v>
      </c>
      <c r="F15" s="11"/>
      <c r="G15" s="11"/>
      <c r="H15" s="11">
        <f t="shared" si="4"/>
        <v>11.263414444449671</v>
      </c>
      <c r="I15" s="11">
        <f t="shared" si="6"/>
        <v>45.00736381234001</v>
      </c>
      <c r="J15" s="11">
        <f t="shared" si="7"/>
        <v>-7.4313286289122376</v>
      </c>
      <c r="K15" s="11">
        <f t="shared" si="5"/>
        <v>24.705166798081546</v>
      </c>
      <c r="L15" s="11">
        <f t="shared" si="2"/>
        <v>21.39113009094245</v>
      </c>
      <c r="M15" s="11">
        <f t="shared" si="0"/>
        <v>10.987198963362195</v>
      </c>
      <c r="N15" s="11">
        <f t="shared" si="3"/>
        <v>-92.05151274477133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-14.577451151588765</v>
      </c>
      <c r="F16" s="11"/>
      <c r="G16" s="11"/>
      <c r="H16" s="11">
        <f t="shared" si="4"/>
        <v>8.0530256996745848</v>
      </c>
      <c r="I16" s="11">
        <f t="shared" si="6"/>
        <v>45.00736381234001</v>
      </c>
      <c r="J16" s="11">
        <f t="shared" si="7"/>
        <v>-7.4313286289122376</v>
      </c>
      <c r="K16" s="11">
        <f t="shared" si="5"/>
        <v>26.631400044946599</v>
      </c>
      <c r="L16" s="11">
        <f t="shared" si="2"/>
        <v>20.106974593032415</v>
      </c>
      <c r="M16" s="11">
        <f t="shared" si="0"/>
        <v>9.0392134397947199</v>
      </c>
      <c r="N16" s="11">
        <f t="shared" si="3"/>
        <v>-83.012299304976608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-14.577451151588765</v>
      </c>
      <c r="F17" s="11"/>
      <c r="G17" s="11"/>
      <c r="H17" s="11">
        <f t="shared" si="4"/>
        <v>8.044007753762294</v>
      </c>
      <c r="I17" s="11">
        <f t="shared" si="6"/>
        <v>45.00736381234001</v>
      </c>
      <c r="J17" s="11">
        <f t="shared" si="7"/>
        <v>-7.4313286289122376</v>
      </c>
      <c r="K17" s="11">
        <f t="shared" si="5"/>
        <v>26.636810812493973</v>
      </c>
      <c r="L17" s="11">
        <f t="shared" si="2"/>
        <v>20.103367414667499</v>
      </c>
      <c r="M17" s="11">
        <f t="shared" si="0"/>
        <v>7.9101255053679633</v>
      </c>
      <c r="N17" s="11">
        <f t="shared" si="3"/>
        <v>-75.10217379960865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-14.577451151588765</v>
      </c>
      <c r="F18" s="11"/>
      <c r="G18" s="11"/>
      <c r="H18" s="11">
        <f t="shared" si="4"/>
        <v>8.0530256996745848</v>
      </c>
      <c r="I18" s="11">
        <f t="shared" si="6"/>
        <v>45.00736381234001</v>
      </c>
      <c r="J18" s="11">
        <f t="shared" si="7"/>
        <v>-7.4313286289122376</v>
      </c>
      <c r="K18" s="11">
        <f t="shared" si="5"/>
        <v>26.631400044946599</v>
      </c>
      <c r="L18" s="11">
        <f t="shared" si="2"/>
        <v>20.106974593032415</v>
      </c>
      <c r="M18" s="11">
        <f t="shared" si="0"/>
        <v>6.9245562168481021</v>
      </c>
      <c r="N18" s="11">
        <f t="shared" si="3"/>
        <v>-68.177617582760547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-14.577451151588765</v>
      </c>
      <c r="F19" s="11"/>
      <c r="G19" s="11"/>
      <c r="H19" s="11">
        <f t="shared" si="4"/>
        <v>4.022003876881147</v>
      </c>
      <c r="I19" s="11">
        <f t="shared" si="6"/>
        <v>45.00736381234001</v>
      </c>
      <c r="J19" s="11">
        <f t="shared" si="7"/>
        <v>-7.4313286289122376</v>
      </c>
      <c r="K19" s="11">
        <f t="shared" si="5"/>
        <v>29.05001313862266</v>
      </c>
      <c r="L19" s="11">
        <f t="shared" si="2"/>
        <v>18.494565863915039</v>
      </c>
      <c r="M19" s="11">
        <f t="shared" si="0"/>
        <v>5.5746808559445959</v>
      </c>
      <c r="N19" s="11">
        <f t="shared" si="3"/>
        <v>-62.602936726815955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-14.577451151588765</v>
      </c>
      <c r="F20" s="11"/>
      <c r="G20" s="11"/>
      <c r="H20" s="11"/>
      <c r="I20" s="11">
        <f t="shared" si="6"/>
        <v>45.00736381234001</v>
      </c>
      <c r="J20" s="11">
        <f t="shared" si="7"/>
        <v>-7.4313286289122376</v>
      </c>
      <c r="K20" s="11">
        <f t="shared" si="5"/>
        <v>31.46321546475135</v>
      </c>
      <c r="L20" s="11">
        <f t="shared" si="2"/>
        <v>16.885764313162586</v>
      </c>
      <c r="M20" s="11">
        <f t="shared" si="0"/>
        <v>4.4547900765145947</v>
      </c>
      <c r="N20" s="11">
        <f t="shared" si="3"/>
        <v>-58.148146650301356</v>
      </c>
    </row>
    <row r="21" spans="1:16" x14ac:dyDescent="0.25">
      <c r="A21">
        <v>12</v>
      </c>
      <c r="B21" s="11"/>
      <c r="C21" s="11"/>
      <c r="D21" s="11"/>
      <c r="E21" s="11">
        <f t="shared" si="1"/>
        <v>-14.577451151588765</v>
      </c>
      <c r="F21" s="11"/>
      <c r="G21" s="11"/>
      <c r="H21" s="11"/>
      <c r="I21" s="11">
        <f t="shared" si="6"/>
        <v>45.00736381234001</v>
      </c>
      <c r="J21" s="11">
        <f t="shared" si="7"/>
        <v>-7.4313286289122376</v>
      </c>
      <c r="K21" s="11">
        <f t="shared" si="5"/>
        <v>31.46321546475135</v>
      </c>
      <c r="L21" s="11">
        <f t="shared" si="2"/>
        <v>16.885764313162586</v>
      </c>
      <c r="M21" s="11">
        <f t="shared" si="0"/>
        <v>3.8990418402839735</v>
      </c>
      <c r="N21" s="11">
        <f t="shared" si="3"/>
        <v>-54.249104810017386</v>
      </c>
    </row>
    <row r="22" spans="1:16" x14ac:dyDescent="0.25">
      <c r="A22">
        <v>13</v>
      </c>
      <c r="B22" s="11"/>
      <c r="C22" s="11"/>
      <c r="D22" s="11"/>
      <c r="E22" s="11">
        <f t="shared" si="1"/>
        <v>-14.577451151588765</v>
      </c>
      <c r="F22" s="11"/>
      <c r="G22" s="11"/>
      <c r="H22" s="11"/>
      <c r="I22" s="11">
        <f t="shared" si="6"/>
        <v>45.00736381234001</v>
      </c>
      <c r="J22" s="11">
        <f t="shared" si="7"/>
        <v>-7.4313286289122376</v>
      </c>
      <c r="K22" s="11">
        <f t="shared" si="5"/>
        <v>31.46321546475135</v>
      </c>
      <c r="L22" s="11">
        <f t="shared" si="2"/>
        <v>16.885764313162586</v>
      </c>
      <c r="M22" s="11">
        <f t="shared" si="0"/>
        <v>3.4126248400417136</v>
      </c>
      <c r="N22" s="11">
        <f t="shared" si="3"/>
        <v>-50.83647996997567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-14.577451151588765</v>
      </c>
      <c r="F23" s="11"/>
      <c r="G23" s="11"/>
      <c r="H23" s="11"/>
      <c r="I23" s="11">
        <f t="shared" si="6"/>
        <v>45.00736381234001</v>
      </c>
      <c r="J23" s="11">
        <f t="shared" si="7"/>
        <v>-7.4313286289122376</v>
      </c>
      <c r="K23" s="11">
        <f t="shared" si="5"/>
        <v>31.46321546475135</v>
      </c>
      <c r="L23" s="11">
        <f t="shared" si="2"/>
        <v>16.885764313162586</v>
      </c>
      <c r="M23" s="11">
        <f t="shared" si="0"/>
        <v>2.9868897990644632</v>
      </c>
      <c r="N23" s="11">
        <f t="shared" si="3"/>
        <v>-47.849590170911206</v>
      </c>
    </row>
    <row r="24" spans="1:16" ht="15.75" thickBot="1" x14ac:dyDescent="0.3">
      <c r="A24">
        <v>15</v>
      </c>
      <c r="B24" s="11"/>
      <c r="C24" s="11">
        <f>-WC</f>
        <v>18.922430217266083</v>
      </c>
      <c r="D24" s="11"/>
      <c r="E24" s="11">
        <f t="shared" si="1"/>
        <v>-14.577451151588765</v>
      </c>
      <c r="F24" s="11"/>
      <c r="G24" s="11"/>
      <c r="H24" s="11"/>
      <c r="I24" s="11">
        <f t="shared" si="6"/>
        <v>45.00736381234001</v>
      </c>
      <c r="J24" s="11">
        <f t="shared" si="7"/>
        <v>-7.4313286289122376</v>
      </c>
      <c r="K24" s="11">
        <f t="shared" si="5"/>
        <v>31.46321546475135</v>
      </c>
      <c r="L24" s="11">
        <f>C24+K24+G24+E24</f>
        <v>35.808194530428665</v>
      </c>
      <c r="M24" s="11">
        <f t="shared" si="0"/>
        <v>5.5438510417706697</v>
      </c>
      <c r="N24" s="13">
        <f>N23+M24</f>
        <v>-42.305739129140534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9</xdr:col>
                    <xdr:colOff>419100</xdr:colOff>
                    <xdr:row>1</xdr:row>
                    <xdr:rowOff>95250</xdr:rowOff>
                  </from>
                  <to>
                    <xdr:col>11</xdr:col>
                    <xdr:colOff>257175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1"/>
  <sheetViews>
    <sheetView workbookViewId="0">
      <selection sqref="A1:B21"/>
    </sheetView>
  </sheetViews>
  <sheetFormatPr defaultRowHeight="15" x14ac:dyDescent="0.25"/>
  <sheetData>
    <row r="1" spans="1:2" x14ac:dyDescent="0.25">
      <c r="A1">
        <v>-57</v>
      </c>
      <c r="B1">
        <v>3</v>
      </c>
    </row>
    <row r="2" spans="1:2" x14ac:dyDescent="0.25">
      <c r="A2">
        <v>-51</v>
      </c>
      <c r="B2">
        <v>13</v>
      </c>
    </row>
    <row r="3" spans="1:2" x14ac:dyDescent="0.25">
      <c r="A3">
        <v>-45</v>
      </c>
      <c r="B3">
        <v>31</v>
      </c>
    </row>
    <row r="4" spans="1:2" x14ac:dyDescent="0.25">
      <c r="A4">
        <v>-39</v>
      </c>
      <c r="B4">
        <v>41</v>
      </c>
    </row>
    <row r="5" spans="1:2" x14ac:dyDescent="0.25">
      <c r="A5">
        <v>-33</v>
      </c>
      <c r="B5">
        <v>59</v>
      </c>
    </row>
    <row r="6" spans="1:2" x14ac:dyDescent="0.25">
      <c r="A6">
        <v>-27</v>
      </c>
      <c r="B6">
        <v>86</v>
      </c>
    </row>
    <row r="7" spans="1:2" x14ac:dyDescent="0.25">
      <c r="A7">
        <v>-21</v>
      </c>
      <c r="B7">
        <v>85</v>
      </c>
    </row>
    <row r="8" spans="1:2" x14ac:dyDescent="0.25">
      <c r="A8">
        <v>-15</v>
      </c>
      <c r="B8">
        <v>90</v>
      </c>
    </row>
    <row r="9" spans="1:2" x14ac:dyDescent="0.25">
      <c r="A9">
        <v>-9</v>
      </c>
      <c r="B9">
        <v>97</v>
      </c>
    </row>
    <row r="10" spans="1:2" x14ac:dyDescent="0.25">
      <c r="A10">
        <v>-3</v>
      </c>
      <c r="B10">
        <v>95</v>
      </c>
    </row>
    <row r="11" spans="1:2" x14ac:dyDescent="0.25">
      <c r="A11">
        <v>3</v>
      </c>
      <c r="B11">
        <v>95</v>
      </c>
    </row>
    <row r="12" spans="1:2" x14ac:dyDescent="0.25">
      <c r="A12">
        <v>9</v>
      </c>
      <c r="B12">
        <v>78</v>
      </c>
    </row>
    <row r="13" spans="1:2" x14ac:dyDescent="0.25">
      <c r="A13">
        <v>15</v>
      </c>
      <c r="B13">
        <v>79</v>
      </c>
    </row>
    <row r="14" spans="1:2" x14ac:dyDescent="0.25">
      <c r="A14">
        <v>21</v>
      </c>
      <c r="B14">
        <v>47</v>
      </c>
    </row>
    <row r="15" spans="1:2" x14ac:dyDescent="0.25">
      <c r="A15">
        <v>27</v>
      </c>
      <c r="B15">
        <v>40</v>
      </c>
    </row>
    <row r="16" spans="1:2" x14ac:dyDescent="0.25">
      <c r="A16">
        <v>33</v>
      </c>
      <c r="B16">
        <v>25</v>
      </c>
    </row>
    <row r="17" spans="1:2" x14ac:dyDescent="0.25">
      <c r="A17">
        <v>39</v>
      </c>
      <c r="B17">
        <v>12</v>
      </c>
    </row>
    <row r="18" spans="1:2" x14ac:dyDescent="0.25">
      <c r="A18">
        <v>45</v>
      </c>
      <c r="B18">
        <v>9</v>
      </c>
    </row>
    <row r="19" spans="1:2" x14ac:dyDescent="0.25">
      <c r="A19">
        <v>51</v>
      </c>
      <c r="B19">
        <v>7</v>
      </c>
    </row>
    <row r="20" spans="1:2" x14ac:dyDescent="0.25">
      <c r="A20">
        <v>57</v>
      </c>
      <c r="B20">
        <v>1</v>
      </c>
    </row>
    <row r="21" spans="1:2" x14ac:dyDescent="0.25">
      <c r="A21">
        <v>63</v>
      </c>
      <c r="B2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Charlie;Julien</dc:creator>
  <cp:lastModifiedBy>Roland</cp:lastModifiedBy>
  <dcterms:created xsi:type="dcterms:W3CDTF">2013-10-29T18:00:12Z</dcterms:created>
  <dcterms:modified xsi:type="dcterms:W3CDTF">2021-12-04T04:23:25Z</dcterms:modified>
</cp:coreProperties>
</file>